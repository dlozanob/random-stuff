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9654FA1F-A846-4902-96A3-C4ED5BCDC9B2}" xr6:coauthVersionLast="47" xr6:coauthVersionMax="47" xr10:uidLastSave="{00000000-0000-0000-0000-000000000000}"/>
  <bookViews>
    <workbookView xWindow="-120" yWindow="-120" windowWidth="20730" windowHeight="11760" activeTab="2" xr2:uid="{5657D6CA-B9A7-4F85-9D0E-7B791CB3A74D}"/>
  </bookViews>
  <sheets>
    <sheet name="Macronutrients" sheetId="1" r:id="rId1"/>
    <sheet name="Meal Plan" sheetId="2" r:id="rId2"/>
    <sheet name="Measures Track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" i="1" l="1"/>
  <c r="G10" i="1" s="1"/>
  <c r="F8" i="1"/>
  <c r="G8" i="1" s="1"/>
  <c r="C5" i="1"/>
  <c r="C6" i="1" s="1"/>
  <c r="C7" i="1" s="1"/>
  <c r="H8" i="1" l="1"/>
  <c r="H10" i="1"/>
  <c r="F9" i="1"/>
  <c r="G9" i="1" l="1"/>
  <c r="F11" i="1"/>
  <c r="G11" i="1" l="1"/>
  <c r="H9" i="1"/>
  <c r="H11" i="1" s="1"/>
</calcChain>
</file>

<file path=xl/sharedStrings.xml><?xml version="1.0" encoding="utf-8"?>
<sst xmlns="http://schemas.openxmlformats.org/spreadsheetml/2006/main" count="74" uniqueCount="65">
  <si>
    <t>Total Weight [kg]</t>
  </si>
  <si>
    <t>Body Fat [%]</t>
  </si>
  <si>
    <t>Water Mass [%]</t>
  </si>
  <si>
    <t>Metabolic Age</t>
  </si>
  <si>
    <t>Bone Mass [kg]</t>
  </si>
  <si>
    <t>Visceral Fat [%]</t>
  </si>
  <si>
    <t>Muscular Mass [kg]</t>
  </si>
  <si>
    <t>IDEAL</t>
  </si>
  <si>
    <t>-</t>
  </si>
  <si>
    <t>Creatine [g]</t>
  </si>
  <si>
    <t>30.05.2025</t>
  </si>
  <si>
    <t>Parameter</t>
  </si>
  <si>
    <t>12.06.2025</t>
  </si>
  <si>
    <t>12.10.2024</t>
  </si>
  <si>
    <t>Age</t>
  </si>
  <si>
    <t>BMR [kcal/day]</t>
  </si>
  <si>
    <t>Height [cm]</t>
  </si>
  <si>
    <t>Target Calory Intake</t>
  </si>
  <si>
    <t>Protein</t>
  </si>
  <si>
    <t>Carbs</t>
  </si>
  <si>
    <t>TDEE [kcal/day]</t>
  </si>
  <si>
    <t>Objective</t>
  </si>
  <si>
    <t>Lean Bulk</t>
  </si>
  <si>
    <t>Macronutrient</t>
  </si>
  <si>
    <t>Carbohydrates</t>
  </si>
  <si>
    <t>Fat</t>
  </si>
  <si>
    <t>Total</t>
  </si>
  <si>
    <t>Percentage [%]</t>
  </si>
  <si>
    <t>Calories per gram [kcal/g]</t>
  </si>
  <si>
    <t>Calories [kcal]</t>
  </si>
  <si>
    <t>Supplements</t>
  </si>
  <si>
    <t>Grams [g/day]</t>
  </si>
  <si>
    <t>Calories [kcal/day]</t>
  </si>
  <si>
    <t>Breakfast</t>
  </si>
  <si>
    <t>Lunch</t>
  </si>
  <si>
    <t>Pre-Lunch</t>
  </si>
  <si>
    <t>Post-Workout</t>
  </si>
  <si>
    <t>Afternoon Snack</t>
  </si>
  <si>
    <t>Dinner</t>
  </si>
  <si>
    <t>Pre-Bed Snack (Optional)</t>
  </si>
  <si>
    <t>Time</t>
  </si>
  <si>
    <t>400-500</t>
  </si>
  <si>
    <t>450-550</t>
  </si>
  <si>
    <t>800-900</t>
  </si>
  <si>
    <t>600-650</t>
  </si>
  <si>
    <t>300-350</t>
  </si>
  <si>
    <t>Meals</t>
  </si>
  <si>
    <t>3 scrambled eggs, 1 slice of queso campesino, 1 banana,
 1/2 cup avena cocina, 1 slice toast, 5g creatine</t>
  </si>
  <si>
    <t>1 banana, 1 granadilla, 2 boiled eggs, 1 slice toast,
1 glass of water</t>
  </si>
  <si>
    <t>Peanuts</t>
  </si>
  <si>
    <t>Peanuts, some
protein</t>
  </si>
  <si>
    <t>1 boiled egg, greek yogurt,
1 slice toast, 1 mandarina</t>
  </si>
  <si>
    <t>100-200</t>
  </si>
  <si>
    <t>Meal</t>
  </si>
  <si>
    <t>Expectations</t>
  </si>
  <si>
    <t>Muscle gain [kg/month]</t>
  </si>
  <si>
    <t>0,5-1</t>
  </si>
  <si>
    <t>Planning</t>
  </si>
  <si>
    <t>Duration [week]</t>
  </si>
  <si>
    <t>8-16</t>
  </si>
  <si>
    <t>2-3</t>
  </si>
  <si>
    <t>3. Lean Bulk Continuation</t>
  </si>
  <si>
    <t>1. Lean Bulk</t>
  </si>
  <si>
    <t>2. Mini Cut</t>
  </si>
  <si>
    <t>Whey 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</si>
</sst>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49" fontId="0" fillId="0" borderId="0" xfId="0" applyNumberFormat="1"/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2" fillId="0" borderId="3" xfId="0" applyFont="1" applyFill="1" applyBorder="1"/>
    <xf numFmtId="0" fontId="0" fillId="0" borderId="2" xfId="0" applyFill="1" applyBorder="1" applyAlignment="1">
      <alignment horizontal="center" vertical="center"/>
    </xf>
    <xf numFmtId="0" fontId="2" fillId="0" borderId="7" xfId="0" applyFont="1" applyFill="1" applyBorder="1"/>
    <xf numFmtId="0" fontId="0" fillId="0" borderId="9" xfId="0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64" fontId="0" fillId="0" borderId="2" xfId="0" applyNumberFormat="1" applyFill="1" applyBorder="1" applyAlignment="1">
      <alignment horizontal="center" vertical="center"/>
    </xf>
    <xf numFmtId="164" fontId="0" fillId="0" borderId="9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164" fontId="0" fillId="0" borderId="8" xfId="0" applyNumberFormat="1" applyFill="1" applyBorder="1" applyAlignment="1">
      <alignment horizontal="center" vertical="center"/>
    </xf>
    <xf numFmtId="1" fontId="0" fillId="0" borderId="9" xfId="0" applyNumberForma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20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4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674E66-94AB-4C3C-93BE-CEC40F8CE96A}" name="Tabla2" displayName="Tabla2" ref="E2:F5" totalsRowShown="0" headerRowDxfId="5" dataDxfId="6">
  <autoFilter ref="E2:F5" xr:uid="{15674E66-94AB-4C3C-93BE-CEC40F8CE96A}"/>
  <tableColumns count="2">
    <tableColumn id="1" xr3:uid="{95C25A2A-BBED-4D1D-AC5F-20A4A79B2005}" name="Macronutrient" dataDxfId="8"/>
    <tableColumn id="2" xr3:uid="{9A5BF5C9-E432-40E7-8FF9-E46462FB5688}" name="Calories per gram [kcal/g]" dataDxfId="7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E86699-F353-4B85-BFA7-87A0C8711DEC}" name="Tabla3" displayName="Tabla3" ref="E7:H11" totalsRowShown="0" headerRowDxfId="18" dataDxfId="19" headerRowBorderDxfId="38" tableBorderDxfId="39" totalsRowBorderDxfId="37">
  <autoFilter ref="E7:H11" xr:uid="{6DE86699-F353-4B85-BFA7-87A0C8711DEC}"/>
  <tableColumns count="4">
    <tableColumn id="1" xr3:uid="{1340CE2A-0150-4AFA-8743-34A22C06FB6D}" name="Macronutrient" dataDxfId="23"/>
    <tableColumn id="2" xr3:uid="{27DFE90D-8D4C-425E-A781-5583C11EF34D}" name="Grams [g/day]" dataDxfId="22"/>
    <tableColumn id="3" xr3:uid="{B575E2A2-46F8-436A-A50E-D3EB261BDD4B}" name="Calories [kcal/day]" dataDxfId="21"/>
    <tableColumn id="4" xr3:uid="{CD804383-57E5-434A-9136-5528A3D56614}" name="Percentage [%]" dataDxfId="20"/>
  </tableColumns>
  <tableStyleInfo name="TableStyleDark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56B39AD-346B-4EE4-B7F6-47DA415118EC}" name="Tabla5" displayName="Tabla5" ref="B18:C21" totalsRowShown="0">
  <autoFilter ref="B18:C21" xr:uid="{C56B39AD-346B-4EE4-B7F6-47DA415118EC}"/>
  <tableColumns count="2">
    <tableColumn id="1" xr3:uid="{8953FD21-EF3D-4C48-8247-F1E58B13A854}" name="Planning"/>
    <tableColumn id="2" xr3:uid="{4C7CC28D-E53E-4814-86BE-356B88CDFAC4}" name="Duration [week]" dataDxfId="40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1E3A1E5-51DB-4063-8F01-74AAD76E806D}" name="Table6" displayName="Table6" ref="B9:C11" totalsRowShown="0" headerRowDxfId="31" dataDxfId="30" headerRowBorderDxfId="35" tableBorderDxfId="36" totalsRowBorderDxfId="34">
  <autoFilter ref="B9:C11" xr:uid="{A1E3A1E5-51DB-4063-8F01-74AAD76E806D}"/>
  <tableColumns count="2">
    <tableColumn id="1" xr3:uid="{5D747E8C-AE4A-4668-AFD5-B53374E0D898}" name="Supplements" dataDxfId="33"/>
    <tableColumn id="2" xr3:uid="{27388037-92C2-41BA-9538-CB9A511307DD}" name="Grams [g/day]" dataDxfId="32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3B0FD24-7FBE-4A08-B9B6-1384D67FC4F5}" name="Table7" displayName="Table7" ref="B2:C7" totalsRowShown="0" headerRowDxfId="24" headerRowBorderDxfId="28" tableBorderDxfId="29" totalsRowBorderDxfId="27">
  <autoFilter ref="B2:C7" xr:uid="{C3B0FD24-7FBE-4A08-B9B6-1384D67FC4F5}"/>
  <tableColumns count="2">
    <tableColumn id="1" xr3:uid="{D1B1051C-715F-4B3B-9807-BAD623C403BD}" name="Objective" dataDxfId="26"/>
    <tableColumn id="2" xr3:uid="{83B368C2-F2E8-43AD-9B7D-A75FA78ED617}" name="Lean Bulk" dataDxfId="25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92E4DD-0CEA-45D6-8117-157DA519EF2D}" name="Tabla4" displayName="Tabla4" ref="B2:E9" totalsRowShown="0" headerRowDxfId="11" dataDxfId="12" headerRowBorderDxfId="16" tableBorderDxfId="17" totalsRowBorderDxfId="15">
  <autoFilter ref="B2:E9" xr:uid="{CF92E4DD-0CEA-45D6-8117-157DA519EF2D}"/>
  <tableColumns count="4">
    <tableColumn id="1" xr3:uid="{35519578-9760-48C4-A75A-7F84FBB87DF1}" name="Meal" dataDxfId="9"/>
    <tableColumn id="2" xr3:uid="{9FFC3B3C-22A1-4FA9-867C-6FA56933045B}" name="Time" dataDxfId="10"/>
    <tableColumn id="3" xr3:uid="{FC36E678-1895-415B-B48B-18F8978EBEDB}" name="Calories [kcal]" dataDxfId="14"/>
    <tableColumn id="4" xr3:uid="{56363AD3-E144-4C8E-89EA-820ADCCAE317}" name="Meals" dataDxfId="13"/>
  </tableColumns>
  <tableStyleInfo name="TableStyleMedium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5700C1-DA18-4652-854E-DCD299B5431C}" name="Tabla1" displayName="Tabla1" ref="B2:F9" totalsRowShown="0" headerRowDxfId="4">
  <autoFilter ref="B2:F9" xr:uid="{065700C1-DA18-4652-854E-DCD299B5431C}"/>
  <tableColumns count="5">
    <tableColumn id="1" xr3:uid="{83833A54-B244-4087-8347-A1F2344F32E8}" name="Parameter"/>
    <tableColumn id="2" xr3:uid="{34BFC17B-89EA-4A89-A76C-8B52AD4867E1}" name="IDEAL" dataDxfId="3"/>
    <tableColumn id="3" xr3:uid="{5B9AF230-9800-4346-9888-4BC0AA5E52E6}" name="12.10.2024" dataDxfId="2"/>
    <tableColumn id="4" xr3:uid="{5067B4CE-50FE-4C15-A13A-42E363C05A76}" name="30.05.2025" dataDxfId="1"/>
    <tableColumn id="6" xr3:uid="{C068203D-3C5E-40C6-BFFF-0F40843423D6}" name="12.06.2025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1D4DF-E358-43D6-AC21-EF0ABFB29BB6}">
  <dimension ref="B2:H21"/>
  <sheetViews>
    <sheetView zoomScale="89" zoomScaleNormal="115" workbookViewId="0">
      <selection activeCell="D16" sqref="D16"/>
    </sheetView>
  </sheetViews>
  <sheetFormatPr defaultColWidth="11.42578125" defaultRowHeight="15" x14ac:dyDescent="0.25"/>
  <cols>
    <col min="2" max="2" width="23.85546875" bestFit="1" customWidth="1"/>
    <col min="3" max="3" width="18.28515625" bestFit="1" customWidth="1"/>
    <col min="4" max="4" width="19.5703125" customWidth="1"/>
    <col min="5" max="5" width="20" bestFit="1" customWidth="1"/>
    <col min="6" max="6" width="29.7109375" bestFit="1" customWidth="1"/>
    <col min="7" max="7" width="23.140625" bestFit="1" customWidth="1"/>
    <col min="8" max="8" width="23.42578125" bestFit="1" customWidth="1"/>
    <col min="9" max="9" width="17.85546875" bestFit="1" customWidth="1"/>
    <col min="10" max="10" width="25.85546875" bestFit="1" customWidth="1"/>
    <col min="11" max="11" width="18.28515625" bestFit="1" customWidth="1"/>
    <col min="12" max="12" width="13.42578125" bestFit="1" customWidth="1"/>
  </cols>
  <sheetData>
    <row r="2" spans="2:8" x14ac:dyDescent="0.25">
      <c r="B2" s="5" t="s">
        <v>21</v>
      </c>
      <c r="C2" s="6" t="s">
        <v>22</v>
      </c>
      <c r="E2" s="34" t="s">
        <v>23</v>
      </c>
      <c r="F2" s="34" t="s">
        <v>28</v>
      </c>
    </row>
    <row r="3" spans="2:8" x14ac:dyDescent="0.25">
      <c r="B3" s="7" t="s">
        <v>14</v>
      </c>
      <c r="C3" s="8">
        <v>25</v>
      </c>
      <c r="E3" s="32" t="s">
        <v>18</v>
      </c>
      <c r="F3" s="32">
        <v>4</v>
      </c>
    </row>
    <row r="4" spans="2:8" x14ac:dyDescent="0.25">
      <c r="B4" s="7" t="s">
        <v>16</v>
      </c>
      <c r="C4" s="8">
        <v>175</v>
      </c>
      <c r="E4" s="32" t="s">
        <v>24</v>
      </c>
      <c r="F4" s="32">
        <v>4</v>
      </c>
    </row>
    <row r="5" spans="2:8" x14ac:dyDescent="0.25">
      <c r="B5" s="7" t="s">
        <v>15</v>
      </c>
      <c r="C5" s="12">
        <f>10*'Measures Tracker'!F3+6.25*C4-5*C3+5</f>
        <v>1617.75</v>
      </c>
      <c r="E5" s="32" t="s">
        <v>25</v>
      </c>
      <c r="F5" s="32">
        <v>9</v>
      </c>
    </row>
    <row r="6" spans="2:8" x14ac:dyDescent="0.25">
      <c r="B6" s="7" t="s">
        <v>20</v>
      </c>
      <c r="C6" s="12">
        <f>C5*1.725</f>
        <v>2790.6187500000001</v>
      </c>
    </row>
    <row r="7" spans="2:8" x14ac:dyDescent="0.25">
      <c r="B7" s="9" t="s">
        <v>17</v>
      </c>
      <c r="C7" s="13">
        <f>C6*1.15</f>
        <v>3209.2115624999997</v>
      </c>
      <c r="E7" s="5" t="s">
        <v>23</v>
      </c>
      <c r="F7" s="18" t="s">
        <v>31</v>
      </c>
      <c r="G7" s="18" t="s">
        <v>32</v>
      </c>
      <c r="H7" s="19" t="s">
        <v>27</v>
      </c>
    </row>
    <row r="8" spans="2:8" x14ac:dyDescent="0.25">
      <c r="E8" s="14" t="s">
        <v>18</v>
      </c>
      <c r="F8" s="11">
        <f>'Measures Tracker'!F3*2.3</f>
        <v>148.12</v>
      </c>
      <c r="G8" s="11">
        <f>F8*F3</f>
        <v>592.48</v>
      </c>
      <c r="H8" s="12">
        <f>G8*100/$C$7</f>
        <v>18.461855457682997</v>
      </c>
    </row>
    <row r="9" spans="2:8" x14ac:dyDescent="0.25">
      <c r="B9" s="5" t="s">
        <v>30</v>
      </c>
      <c r="C9" s="6" t="s">
        <v>31</v>
      </c>
      <c r="E9" s="14" t="s">
        <v>19</v>
      </c>
      <c r="F9" s="11">
        <f>(C7-(F8*4+F10*9))/4</f>
        <v>509.28289062499994</v>
      </c>
      <c r="G9" s="11">
        <f>F9*F4</f>
        <v>2037.1315624999997</v>
      </c>
      <c r="H9" s="12">
        <f>G9*100/$C$7</f>
        <v>63.47763376849668</v>
      </c>
    </row>
    <row r="10" spans="2:8" x14ac:dyDescent="0.25">
      <c r="B10" s="7" t="s">
        <v>9</v>
      </c>
      <c r="C10" s="8">
        <v>5</v>
      </c>
      <c r="E10" s="14" t="s">
        <v>25</v>
      </c>
      <c r="F10" s="11">
        <f>'Measures Tracker'!F3*1</f>
        <v>64.400000000000006</v>
      </c>
      <c r="G10" s="11">
        <f>F10*F5</f>
        <v>579.6</v>
      </c>
      <c r="H10" s="12">
        <f>G10*100/$C$7</f>
        <v>18.060510773820322</v>
      </c>
    </row>
    <row r="11" spans="2:8" x14ac:dyDescent="0.25">
      <c r="B11" s="9" t="s">
        <v>64</v>
      </c>
      <c r="C11" s="10">
        <v>20</v>
      </c>
      <c r="E11" s="15" t="s">
        <v>26</v>
      </c>
      <c r="F11" s="16">
        <f>SUM(F8:F10)</f>
        <v>721.80289062499992</v>
      </c>
      <c r="G11" s="16">
        <f>SUM(G8:G10)</f>
        <v>3209.2115624999997</v>
      </c>
      <c r="H11" s="17">
        <f>SUM(H8:H10)</f>
        <v>100</v>
      </c>
    </row>
    <row r="15" spans="2:8" x14ac:dyDescent="0.25">
      <c r="B15" s="3" t="s">
        <v>54</v>
      </c>
      <c r="C15" s="4"/>
    </row>
    <row r="16" spans="2:8" x14ac:dyDescent="0.25">
      <c r="B16" s="1" t="s">
        <v>55</v>
      </c>
      <c r="C16" s="1" t="s">
        <v>56</v>
      </c>
    </row>
    <row r="18" spans="2:3" x14ac:dyDescent="0.25">
      <c r="B18" t="s">
        <v>57</v>
      </c>
      <c r="C18" t="s">
        <v>58</v>
      </c>
    </row>
    <row r="19" spans="2:3" x14ac:dyDescent="0.25">
      <c r="B19" t="s">
        <v>62</v>
      </c>
      <c r="C19" s="2" t="s">
        <v>59</v>
      </c>
    </row>
    <row r="20" spans="2:3" x14ac:dyDescent="0.25">
      <c r="B20" t="s">
        <v>63</v>
      </c>
      <c r="C20" s="2" t="s">
        <v>60</v>
      </c>
    </row>
    <row r="21" spans="2:3" x14ac:dyDescent="0.25">
      <c r="B21" t="s">
        <v>61</v>
      </c>
      <c r="C21" s="2" t="s">
        <v>8</v>
      </c>
    </row>
  </sheetData>
  <mergeCells count="1">
    <mergeCell ref="B15:C15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C31C5-7EF4-4332-9B63-D496DED052F3}">
  <dimension ref="B2:E9"/>
  <sheetViews>
    <sheetView workbookViewId="0">
      <selection activeCell="G3" sqref="G3"/>
    </sheetView>
  </sheetViews>
  <sheetFormatPr defaultRowHeight="15" x14ac:dyDescent="0.25"/>
  <cols>
    <col min="2" max="2" width="23.5703125" bestFit="1" customWidth="1"/>
    <col min="3" max="3" width="10" bestFit="1" customWidth="1"/>
    <col min="4" max="4" width="18.140625" bestFit="1" customWidth="1"/>
    <col min="5" max="5" width="25.140625" bestFit="1" customWidth="1"/>
  </cols>
  <sheetData>
    <row r="2" spans="2:5" x14ac:dyDescent="0.25">
      <c r="B2" s="26" t="s">
        <v>53</v>
      </c>
      <c r="C2" s="27" t="s">
        <v>40</v>
      </c>
      <c r="D2" s="27" t="s">
        <v>29</v>
      </c>
      <c r="E2" s="28" t="s">
        <v>46</v>
      </c>
    </row>
    <row r="3" spans="2:5" ht="75" x14ac:dyDescent="0.25">
      <c r="B3" s="29" t="s">
        <v>33</v>
      </c>
      <c r="C3" s="20">
        <v>0.19791666666666666</v>
      </c>
      <c r="D3" s="21" t="s">
        <v>44</v>
      </c>
      <c r="E3" s="22" t="s">
        <v>47</v>
      </c>
    </row>
    <row r="4" spans="2:5" ht="45" x14ac:dyDescent="0.25">
      <c r="B4" s="29" t="s">
        <v>36</v>
      </c>
      <c r="C4" s="20">
        <v>0.36458333333333331</v>
      </c>
      <c r="D4" s="21" t="s">
        <v>41</v>
      </c>
      <c r="E4" s="22" t="s">
        <v>48</v>
      </c>
    </row>
    <row r="5" spans="2:5" ht="30" x14ac:dyDescent="0.25">
      <c r="B5" s="29" t="s">
        <v>35</v>
      </c>
      <c r="C5" s="20">
        <v>0.47916666666666669</v>
      </c>
      <c r="D5" s="21" t="s">
        <v>42</v>
      </c>
      <c r="E5" s="22" t="s">
        <v>50</v>
      </c>
    </row>
    <row r="6" spans="2:5" x14ac:dyDescent="0.25">
      <c r="B6" s="29" t="s">
        <v>34</v>
      </c>
      <c r="C6" s="20">
        <v>0.54166666666666663</v>
      </c>
      <c r="D6" s="21" t="s">
        <v>43</v>
      </c>
      <c r="E6" s="22" t="s">
        <v>8</v>
      </c>
    </row>
    <row r="7" spans="2:5" ht="30" x14ac:dyDescent="0.25">
      <c r="B7" s="29" t="s">
        <v>37</v>
      </c>
      <c r="C7" s="20">
        <v>0.70833333333333337</v>
      </c>
      <c r="D7" s="21" t="s">
        <v>45</v>
      </c>
      <c r="E7" s="22" t="s">
        <v>51</v>
      </c>
    </row>
    <row r="8" spans="2:5" x14ac:dyDescent="0.25">
      <c r="B8" s="29" t="s">
        <v>38</v>
      </c>
      <c r="C8" s="20">
        <v>0.83333333333333337</v>
      </c>
      <c r="D8" s="21">
        <v>700</v>
      </c>
      <c r="E8" s="22" t="s">
        <v>8</v>
      </c>
    </row>
    <row r="9" spans="2:5" x14ac:dyDescent="0.25">
      <c r="B9" s="30" t="s">
        <v>39</v>
      </c>
      <c r="C9" s="23">
        <v>0.89583333333333337</v>
      </c>
      <c r="D9" s="24" t="s">
        <v>52</v>
      </c>
      <c r="E9" s="25" t="s">
        <v>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6FE09-BC85-4455-B9EF-E8BB3BDD528C}">
  <dimension ref="B2:F9"/>
  <sheetViews>
    <sheetView tabSelected="1" workbookViewId="0">
      <selection activeCell="G13" sqref="G13"/>
    </sheetView>
  </sheetViews>
  <sheetFormatPr defaultRowHeight="15" x14ac:dyDescent="0.25"/>
  <cols>
    <col min="2" max="2" width="18" bestFit="1" customWidth="1"/>
    <col min="3" max="3" width="10.5703125" bestFit="1" customWidth="1"/>
    <col min="4" max="6" width="14.7109375" bestFit="1" customWidth="1"/>
  </cols>
  <sheetData>
    <row r="2" spans="2:6" x14ac:dyDescent="0.25">
      <c r="B2" s="34" t="s">
        <v>11</v>
      </c>
      <c r="C2" s="35" t="s">
        <v>7</v>
      </c>
      <c r="D2" s="36" t="s">
        <v>13</v>
      </c>
      <c r="E2" s="36" t="s">
        <v>10</v>
      </c>
      <c r="F2" s="36" t="s">
        <v>12</v>
      </c>
    </row>
    <row r="3" spans="2:6" x14ac:dyDescent="0.25">
      <c r="B3" t="s">
        <v>0</v>
      </c>
      <c r="C3" s="31">
        <v>66</v>
      </c>
      <c r="D3" s="32">
        <v>65.5</v>
      </c>
      <c r="E3" s="32">
        <v>63.9</v>
      </c>
      <c r="F3" s="32">
        <v>64.400000000000006</v>
      </c>
    </row>
    <row r="4" spans="2:6" x14ac:dyDescent="0.25">
      <c r="B4" t="s">
        <v>1</v>
      </c>
      <c r="C4" s="31">
        <v>12</v>
      </c>
      <c r="D4" s="32">
        <v>15</v>
      </c>
      <c r="E4" s="32">
        <v>14.3</v>
      </c>
      <c r="F4" s="32">
        <v>14.1</v>
      </c>
    </row>
    <row r="5" spans="2:6" x14ac:dyDescent="0.25">
      <c r="B5" t="s">
        <v>2</v>
      </c>
      <c r="C5" s="31" t="s">
        <v>8</v>
      </c>
      <c r="D5" s="32">
        <v>57.55</v>
      </c>
      <c r="E5" s="32">
        <v>59.3</v>
      </c>
      <c r="F5" s="32">
        <v>57.92</v>
      </c>
    </row>
    <row r="6" spans="2:6" x14ac:dyDescent="0.25">
      <c r="B6" t="s">
        <v>6</v>
      </c>
      <c r="C6" s="31" t="s">
        <v>8</v>
      </c>
      <c r="D6" s="32">
        <v>52.9</v>
      </c>
      <c r="E6" s="32">
        <v>52</v>
      </c>
      <c r="F6" s="32">
        <v>52.4</v>
      </c>
    </row>
    <row r="7" spans="2:6" x14ac:dyDescent="0.25">
      <c r="B7" t="s">
        <v>4</v>
      </c>
      <c r="C7" s="31" t="s">
        <v>8</v>
      </c>
      <c r="D7" s="32">
        <v>2.76</v>
      </c>
      <c r="E7" s="32">
        <v>2.8</v>
      </c>
      <c r="F7" s="32">
        <v>2.79</v>
      </c>
    </row>
    <row r="8" spans="2:6" x14ac:dyDescent="0.25">
      <c r="B8" t="s">
        <v>5</v>
      </c>
      <c r="C8" s="31">
        <v>1</v>
      </c>
      <c r="D8" s="32">
        <v>2</v>
      </c>
      <c r="E8" s="32">
        <v>2</v>
      </c>
      <c r="F8" s="33">
        <v>2</v>
      </c>
    </row>
    <row r="9" spans="2:6" x14ac:dyDescent="0.25">
      <c r="B9" t="s">
        <v>3</v>
      </c>
      <c r="C9" s="31">
        <v>12</v>
      </c>
      <c r="D9" s="32">
        <v>15</v>
      </c>
      <c r="E9" s="32">
        <v>15</v>
      </c>
      <c r="F9" s="32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Macronutrients</vt:lpstr>
      <vt:lpstr>Meal Plan</vt:lpstr>
      <vt:lpstr>Measures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Lozano Barrero</dc:creator>
  <cp:lastModifiedBy>Daniel Lozano Barrero</cp:lastModifiedBy>
  <dcterms:created xsi:type="dcterms:W3CDTF">2025-05-30T18:04:55Z</dcterms:created>
  <dcterms:modified xsi:type="dcterms:W3CDTF">2026-02-13T17:51:06Z</dcterms:modified>
</cp:coreProperties>
</file>